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lixY\Downloads\"/>
    </mc:Choice>
  </mc:AlternateContent>
  <xr:revisionPtr revIDLastSave="0" documentId="13_ncr:1_{14FB876C-8FBD-4B7E-8C14-64F807D0F8C2}" xr6:coauthVersionLast="47" xr6:coauthVersionMax="47" xr10:uidLastSave="{00000000-0000-0000-0000-000000000000}"/>
  <bookViews>
    <workbookView xWindow="-23148" yWindow="-108" windowWidth="23256" windowHeight="12456" tabRatio="500" xr2:uid="{00000000-000D-0000-FFFF-FFFF00000000}"/>
  </bookViews>
  <sheets>
    <sheet name="Hedge 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1" l="1"/>
  <c r="B19" i="1"/>
  <c r="E19" i="1" s="1"/>
  <c r="C18" i="1"/>
  <c r="B18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B6" i="1"/>
  <c r="D19" i="1" s="1"/>
  <c r="E16" i="1" l="1"/>
  <c r="F15" i="1"/>
  <c r="E17" i="1"/>
  <c r="F10" i="1"/>
  <c r="F9" i="1"/>
  <c r="F12" i="1"/>
  <c r="E15" i="1"/>
  <c r="E13" i="1"/>
  <c r="F11" i="1"/>
  <c r="E9" i="1"/>
  <c r="F16" i="1"/>
  <c r="F13" i="1"/>
  <c r="E18" i="1"/>
  <c r="F14" i="1"/>
  <c r="E11" i="1"/>
  <c r="F19" i="1"/>
  <c r="D18" i="1"/>
  <c r="F18" i="1" s="1"/>
  <c r="E10" i="1"/>
  <c r="E12" i="1"/>
  <c r="D17" i="1"/>
  <c r="F17" i="1" s="1"/>
  <c r="E14" i="1"/>
</calcChain>
</file>

<file path=xl/sharedStrings.xml><?xml version="1.0" encoding="utf-8"?>
<sst xmlns="http://schemas.openxmlformats.org/spreadsheetml/2006/main" count="12" uniqueCount="12">
  <si>
    <t>Notional (AUD M)</t>
  </si>
  <si>
    <t>Par forward rate</t>
  </si>
  <si>
    <t>Capped forward strike</t>
  </si>
  <si>
    <t>Capped forward cap</t>
  </si>
  <si>
    <t>Cap rebate (CNH M)</t>
  </si>
  <si>
    <t>Spot Rate</t>
  </si>
  <si>
    <t>Spot Cost (CNH M)</t>
  </si>
  <si>
    <t>Par Forward Cost (CNH M)</t>
  </si>
  <si>
    <t>Capped Forward Cost (CNH M)</t>
  </si>
  <si>
    <t>Par Forward vs Spot (CNH M)</t>
  </si>
  <si>
    <t>Capped Forward vs Spot (CNH M)</t>
  </si>
  <si>
    <t>Input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</si>
</sst>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name val="Calibri Light"/>
      <family val="2"/>
      <scheme val="major"/>
    </font>
    <font>
      <i/>
      <sz val="11"/>
      <color rgb="FF666666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3" tint="0.89999084444715716"/>
        <bgColor rgb="FF333333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64" fontId="4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9822B"/>
      <rgbColor rgb="FFFF6600"/>
      <rgbColor rgb="FF666666"/>
      <rgbColor rgb="FF9AA5B1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/>
            </a:pPr>
            <a:r>
              <a:rPr lang="en-US"/>
              <a:t>CNH cost to buy AUD 10M by strategy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'Hedge Comparison'!$B$8</c:f>
              <c:strCache>
                <c:ptCount val="1"/>
                <c:pt idx="0">
                  <c:v>Spot Cost (CNH M)</c:v>
                </c:pt>
              </c:strCache>
            </c:strRef>
          </c:tx>
          <c:spPr>
            <a:ln>
              <a:solidFill>
                <a:schemeClr val="tx1">
                  <a:lumMod val="85000"/>
                  <a:lumOff val="15000"/>
                </a:scheme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'Hedge Comparison'!$A$9:$A$19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4.5</c:v>
                </c:pt>
                <c:pt idx="2">
                  <c:v>4.5999999999999996</c:v>
                </c:pt>
                <c:pt idx="3">
                  <c:v>4.7</c:v>
                </c:pt>
                <c:pt idx="4">
                  <c:v>4.7300000000000004</c:v>
                </c:pt>
                <c:pt idx="5">
                  <c:v>4.8</c:v>
                </c:pt>
                <c:pt idx="6">
                  <c:v>4.8499999999999996</c:v>
                </c:pt>
                <c:pt idx="7">
                  <c:v>4.9000000000000004</c:v>
                </c:pt>
                <c:pt idx="8">
                  <c:v>5</c:v>
                </c:pt>
                <c:pt idx="9">
                  <c:v>5.0999999999999996</c:v>
                </c:pt>
                <c:pt idx="10">
                  <c:v>5.2</c:v>
                </c:pt>
              </c:numCache>
            </c:numRef>
          </c:xVal>
          <c:yVal>
            <c:numRef>
              <c:f>'Hedge Comparison'!$B$9:$B$19</c:f>
              <c:numCache>
                <c:formatCode>#,##0.00;\(#,##0.00\);\-</c:formatCode>
                <c:ptCount val="11"/>
                <c:pt idx="0">
                  <c:v>44</c:v>
                </c:pt>
                <c:pt idx="1">
                  <c:v>45</c:v>
                </c:pt>
                <c:pt idx="2">
                  <c:v>46</c:v>
                </c:pt>
                <c:pt idx="3">
                  <c:v>47</c:v>
                </c:pt>
                <c:pt idx="4">
                  <c:v>47.300000000000004</c:v>
                </c:pt>
                <c:pt idx="5">
                  <c:v>48</c:v>
                </c:pt>
                <c:pt idx="6">
                  <c:v>48.5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78-4857-B25C-6540EAF19703}"/>
            </c:ext>
          </c:extLst>
        </c:ser>
        <c:ser>
          <c:idx val="1"/>
          <c:order val="1"/>
          <c:tx>
            <c:strRef>
              <c:f>'Hedge Comparison'!$C$8</c:f>
              <c:strCache>
                <c:ptCount val="1"/>
                <c:pt idx="0">
                  <c:v>Par Forward Cost (CNH M)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'Hedge Comparison'!$A$9:$A$19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4.5</c:v>
                </c:pt>
                <c:pt idx="2">
                  <c:v>4.5999999999999996</c:v>
                </c:pt>
                <c:pt idx="3">
                  <c:v>4.7</c:v>
                </c:pt>
                <c:pt idx="4">
                  <c:v>4.7300000000000004</c:v>
                </c:pt>
                <c:pt idx="5">
                  <c:v>4.8</c:v>
                </c:pt>
                <c:pt idx="6">
                  <c:v>4.8499999999999996</c:v>
                </c:pt>
                <c:pt idx="7">
                  <c:v>4.9000000000000004</c:v>
                </c:pt>
                <c:pt idx="8">
                  <c:v>5</c:v>
                </c:pt>
                <c:pt idx="9">
                  <c:v>5.0999999999999996</c:v>
                </c:pt>
                <c:pt idx="10">
                  <c:v>5.2</c:v>
                </c:pt>
              </c:numCache>
            </c:numRef>
          </c:xVal>
          <c:yVal>
            <c:numRef>
              <c:f>'Hedge Comparison'!$C$9:$C$19</c:f>
              <c:numCache>
                <c:formatCode>#,##0.00;\(#,##0.00\);\-</c:formatCode>
                <c:ptCount val="1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78-4857-B25C-6540EAF19703}"/>
            </c:ext>
          </c:extLst>
        </c:ser>
        <c:ser>
          <c:idx val="2"/>
          <c:order val="2"/>
          <c:tx>
            <c:strRef>
              <c:f>'Hedge Comparison'!$D$8</c:f>
              <c:strCache>
                <c:ptCount val="1"/>
                <c:pt idx="0">
                  <c:v>Capped Forward Cost (CNH M)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'Hedge Comparison'!$A$9:$A$19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4.5</c:v>
                </c:pt>
                <c:pt idx="2">
                  <c:v>4.5999999999999996</c:v>
                </c:pt>
                <c:pt idx="3">
                  <c:v>4.7</c:v>
                </c:pt>
                <c:pt idx="4">
                  <c:v>4.7300000000000004</c:v>
                </c:pt>
                <c:pt idx="5">
                  <c:v>4.8</c:v>
                </c:pt>
                <c:pt idx="6">
                  <c:v>4.8499999999999996</c:v>
                </c:pt>
                <c:pt idx="7">
                  <c:v>4.9000000000000004</c:v>
                </c:pt>
                <c:pt idx="8">
                  <c:v>5</c:v>
                </c:pt>
                <c:pt idx="9">
                  <c:v>5.0999999999999996</c:v>
                </c:pt>
                <c:pt idx="10">
                  <c:v>5.2</c:v>
                </c:pt>
              </c:numCache>
            </c:numRef>
          </c:xVal>
          <c:yVal>
            <c:numRef>
              <c:f>'Hedge Comparison'!$D$9:$D$19</c:f>
              <c:numCache>
                <c:formatCode>#,##0.00;\(#,##0.00\);\-</c:formatCode>
                <c:ptCount val="11"/>
                <c:pt idx="0">
                  <c:v>47.300000000000004</c:v>
                </c:pt>
                <c:pt idx="1">
                  <c:v>47.300000000000004</c:v>
                </c:pt>
                <c:pt idx="2">
                  <c:v>47.300000000000004</c:v>
                </c:pt>
                <c:pt idx="3">
                  <c:v>47.300000000000004</c:v>
                </c:pt>
                <c:pt idx="4">
                  <c:v>47.300000000000004</c:v>
                </c:pt>
                <c:pt idx="5">
                  <c:v>47.300000000000004</c:v>
                </c:pt>
                <c:pt idx="6">
                  <c:v>47.300000000000004</c:v>
                </c:pt>
                <c:pt idx="7">
                  <c:v>47.300000000000004</c:v>
                </c:pt>
                <c:pt idx="8">
                  <c:v>48.3</c:v>
                </c:pt>
                <c:pt idx="9">
                  <c:v>49.3</c:v>
                </c:pt>
                <c:pt idx="10">
                  <c:v>50.3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78-4857-B25C-6540EAF19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04770"/>
        <c:axId val="16827013"/>
      </c:scatterChart>
      <c:valAx>
        <c:axId val="56604770"/>
        <c:scaling>
          <c:orientation val="minMax"/>
          <c:max val="5.2"/>
          <c:min val="4.4000000000000004"/>
        </c:scaling>
        <c:delete val="0"/>
        <c:axPos val="b"/>
        <c:majorGridlines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AUD/CNH spot rate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16827013"/>
        <c:crosses val="autoZero"/>
        <c:crossBetween val="midCat"/>
        <c:majorUnit val="0.1"/>
      </c:valAx>
      <c:valAx>
        <c:axId val="16827013"/>
        <c:scaling>
          <c:orientation val="minMax"/>
          <c:max val="54"/>
          <c:min val="42"/>
        </c:scaling>
        <c:delete val="0"/>
        <c:axPos val="l"/>
        <c:majorGridlines/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n-US"/>
                  <a:t>CNH cost (millions)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56604770"/>
        <c:crosses val="autoZero"/>
        <c:crossBetween val="midCat"/>
        <c:majorUnit val="2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552450</xdr:colOff>
      <xdr:row>4</xdr:row>
      <xdr:rowOff>18045</xdr:rowOff>
    </xdr:from>
    <xdr:to>
      <xdr:col>18</xdr:col>
      <xdr:colOff>453990</xdr:colOff>
      <xdr:row>23</xdr:row>
      <xdr:rowOff>3840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etropolitan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Metropolitan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Metropolitan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00000"/>
                <a:lumMod val="110000"/>
              </a:schemeClr>
            </a:gs>
            <a:gs pos="50000">
              <a:schemeClr val="phClr">
                <a:tint val="75000"/>
                <a:satMod val="101000"/>
                <a:lumMod val="105000"/>
              </a:schemeClr>
            </a:gs>
            <a:gs pos="100000">
              <a:schemeClr val="phClr">
                <a:tint val="82000"/>
                <a:satMod val="104000"/>
                <a:lumMod val="105000"/>
              </a:schemeClr>
            </a:gs>
          </a:gsLst>
          <a:lin ang="27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0000"/>
                <a:lumMod val="100000"/>
              </a:schemeClr>
            </a:gs>
            <a:gs pos="100000">
              <a:schemeClr val="phClr">
                <a:shade val="80000"/>
                <a:satMod val="100000"/>
                <a:lumMod val="99000"/>
              </a:schemeClr>
            </a:gs>
          </a:gsLst>
          <a:lin ang="27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5000"/>
            <a:satMod val="17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tropolitan" id="{4C5440D6-04D2-4954-96CF-F251137069B2}" vid="{79CFCA13-9412-4290-BB4B-85112F88857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="85" zoomScaleNormal="85" workbookViewId="0">
      <selection sqref="A1:B1"/>
    </sheetView>
  </sheetViews>
  <sheetFormatPr defaultColWidth="8.7109375" defaultRowHeight="15" x14ac:dyDescent="0.25"/>
  <cols>
    <col min="1" max="1" width="24" style="1" customWidth="1"/>
    <col min="2" max="6" width="19.42578125" style="1" customWidth="1"/>
    <col min="7" max="16384" width="8.7109375" style="1"/>
  </cols>
  <sheetData>
    <row r="1" spans="1:6" x14ac:dyDescent="0.25">
      <c r="A1" s="7" t="s">
        <v>11</v>
      </c>
      <c r="B1" s="7"/>
    </row>
    <row r="2" spans="1:6" x14ac:dyDescent="0.25">
      <c r="A2" s="4" t="s">
        <v>0</v>
      </c>
      <c r="B2" s="5">
        <v>10</v>
      </c>
    </row>
    <row r="3" spans="1:6" x14ac:dyDescent="0.25">
      <c r="A3" s="4" t="s">
        <v>1</v>
      </c>
      <c r="B3" s="5">
        <v>4.8</v>
      </c>
    </row>
    <row r="4" spans="1:6" x14ac:dyDescent="0.25">
      <c r="A4" s="4" t="s">
        <v>2</v>
      </c>
      <c r="B4" s="5">
        <v>4.7300000000000004</v>
      </c>
    </row>
    <row r="5" spans="1:6" x14ac:dyDescent="0.25">
      <c r="A5" s="4" t="s">
        <v>3</v>
      </c>
      <c r="B5" s="5">
        <v>4.9000000000000004</v>
      </c>
    </row>
    <row r="6" spans="1:6" x14ac:dyDescent="0.25">
      <c r="A6" s="4" t="s">
        <v>4</v>
      </c>
      <c r="B6" s="6">
        <f>(B5-B4)*B2</f>
        <v>1.6999999999999993</v>
      </c>
    </row>
    <row r="8" spans="1:6" ht="45.75" customHeight="1" x14ac:dyDescent="0.25">
      <c r="A8" s="8" t="s">
        <v>5</v>
      </c>
      <c r="B8" s="8" t="s">
        <v>6</v>
      </c>
      <c r="C8" s="8" t="s">
        <v>7</v>
      </c>
      <c r="D8" s="8" t="s">
        <v>8</v>
      </c>
      <c r="E8" s="8" t="s">
        <v>9</v>
      </c>
      <c r="F8" s="8" t="s">
        <v>10</v>
      </c>
    </row>
    <row r="9" spans="1:6" x14ac:dyDescent="0.25">
      <c r="A9" s="9">
        <v>4.4000000000000004</v>
      </c>
      <c r="B9" s="2">
        <f t="shared" ref="B9:B19" si="0">A9*$B$2</f>
        <v>44</v>
      </c>
      <c r="C9" s="2">
        <f t="shared" ref="C9:C19" si="1">$B$3*$B$2</f>
        <v>48</v>
      </c>
      <c r="D9" s="2">
        <f t="shared" ref="D9:D19" si="2">IF(A9&lt;=$B$5,$B$4*$B$2,A9*$B$2-$B$6)</f>
        <v>47.300000000000004</v>
      </c>
      <c r="E9" s="2">
        <f t="shared" ref="E9:E19" si="3">B9-C9</f>
        <v>-4</v>
      </c>
      <c r="F9" s="2">
        <f t="shared" ref="F9:F19" si="4">B9-D9</f>
        <v>-3.3000000000000043</v>
      </c>
    </row>
    <row r="10" spans="1:6" x14ac:dyDescent="0.25">
      <c r="A10" s="9">
        <v>4.5</v>
      </c>
      <c r="B10" s="2">
        <f t="shared" si="0"/>
        <v>45</v>
      </c>
      <c r="C10" s="2">
        <f t="shared" si="1"/>
        <v>48</v>
      </c>
      <c r="D10" s="2">
        <f t="shared" si="2"/>
        <v>47.300000000000004</v>
      </c>
      <c r="E10" s="2">
        <f t="shared" si="3"/>
        <v>-3</v>
      </c>
      <c r="F10" s="2">
        <f t="shared" si="4"/>
        <v>-2.3000000000000043</v>
      </c>
    </row>
    <row r="11" spans="1:6" x14ac:dyDescent="0.25">
      <c r="A11" s="9">
        <v>4.5999999999999996</v>
      </c>
      <c r="B11" s="2">
        <f t="shared" si="0"/>
        <v>46</v>
      </c>
      <c r="C11" s="2">
        <f t="shared" si="1"/>
        <v>48</v>
      </c>
      <c r="D11" s="2">
        <f t="shared" si="2"/>
        <v>47.300000000000004</v>
      </c>
      <c r="E11" s="2">
        <f t="shared" si="3"/>
        <v>-2</v>
      </c>
      <c r="F11" s="2">
        <f t="shared" si="4"/>
        <v>-1.3000000000000043</v>
      </c>
    </row>
    <row r="12" spans="1:6" x14ac:dyDescent="0.25">
      <c r="A12" s="9">
        <v>4.7</v>
      </c>
      <c r="B12" s="2">
        <f t="shared" si="0"/>
        <v>47</v>
      </c>
      <c r="C12" s="2">
        <f t="shared" si="1"/>
        <v>48</v>
      </c>
      <c r="D12" s="2">
        <f t="shared" si="2"/>
        <v>47.300000000000004</v>
      </c>
      <c r="E12" s="2">
        <f t="shared" si="3"/>
        <v>-1</v>
      </c>
      <c r="F12" s="2">
        <f t="shared" si="4"/>
        <v>-0.30000000000000426</v>
      </c>
    </row>
    <row r="13" spans="1:6" x14ac:dyDescent="0.25">
      <c r="A13" s="9">
        <v>4.7300000000000004</v>
      </c>
      <c r="B13" s="2">
        <f t="shared" si="0"/>
        <v>47.300000000000004</v>
      </c>
      <c r="C13" s="2">
        <f t="shared" si="1"/>
        <v>48</v>
      </c>
      <c r="D13" s="2">
        <f t="shared" si="2"/>
        <v>47.300000000000004</v>
      </c>
      <c r="E13" s="2">
        <f t="shared" si="3"/>
        <v>-0.69999999999999574</v>
      </c>
      <c r="F13" s="2">
        <f t="shared" si="4"/>
        <v>0</v>
      </c>
    </row>
    <row r="14" spans="1:6" x14ac:dyDescent="0.25">
      <c r="A14" s="9">
        <v>4.8</v>
      </c>
      <c r="B14" s="2">
        <f t="shared" si="0"/>
        <v>48</v>
      </c>
      <c r="C14" s="2">
        <f t="shared" si="1"/>
        <v>48</v>
      </c>
      <c r="D14" s="2">
        <f t="shared" si="2"/>
        <v>47.300000000000004</v>
      </c>
      <c r="E14" s="2">
        <f t="shared" si="3"/>
        <v>0</v>
      </c>
      <c r="F14" s="2">
        <f t="shared" si="4"/>
        <v>0.69999999999999574</v>
      </c>
    </row>
    <row r="15" spans="1:6" x14ac:dyDescent="0.25">
      <c r="A15" s="9">
        <v>4.8499999999999996</v>
      </c>
      <c r="B15" s="2">
        <f t="shared" si="0"/>
        <v>48.5</v>
      </c>
      <c r="C15" s="2">
        <f t="shared" si="1"/>
        <v>48</v>
      </c>
      <c r="D15" s="2">
        <f t="shared" si="2"/>
        <v>47.300000000000004</v>
      </c>
      <c r="E15" s="2">
        <f t="shared" si="3"/>
        <v>0.5</v>
      </c>
      <c r="F15" s="2">
        <f t="shared" si="4"/>
        <v>1.1999999999999957</v>
      </c>
    </row>
    <row r="16" spans="1:6" x14ac:dyDescent="0.25">
      <c r="A16" s="9">
        <v>4.9000000000000004</v>
      </c>
      <c r="B16" s="2">
        <f t="shared" si="0"/>
        <v>49</v>
      </c>
      <c r="C16" s="2">
        <f t="shared" si="1"/>
        <v>48</v>
      </c>
      <c r="D16" s="2">
        <f t="shared" si="2"/>
        <v>47.300000000000004</v>
      </c>
      <c r="E16" s="2">
        <f t="shared" si="3"/>
        <v>1</v>
      </c>
      <c r="F16" s="2">
        <f t="shared" si="4"/>
        <v>1.6999999999999957</v>
      </c>
    </row>
    <row r="17" spans="1:6" x14ac:dyDescent="0.25">
      <c r="A17" s="9">
        <v>5</v>
      </c>
      <c r="B17" s="2">
        <f t="shared" si="0"/>
        <v>50</v>
      </c>
      <c r="C17" s="2">
        <f t="shared" si="1"/>
        <v>48</v>
      </c>
      <c r="D17" s="2">
        <f t="shared" si="2"/>
        <v>48.3</v>
      </c>
      <c r="E17" s="2">
        <f t="shared" si="3"/>
        <v>2</v>
      </c>
      <c r="F17" s="2">
        <f t="shared" si="4"/>
        <v>1.7000000000000028</v>
      </c>
    </row>
    <row r="18" spans="1:6" x14ac:dyDescent="0.25">
      <c r="A18" s="9">
        <v>5.0999999999999996</v>
      </c>
      <c r="B18" s="2">
        <f t="shared" si="0"/>
        <v>51</v>
      </c>
      <c r="C18" s="2">
        <f t="shared" si="1"/>
        <v>48</v>
      </c>
      <c r="D18" s="2">
        <f t="shared" si="2"/>
        <v>49.3</v>
      </c>
      <c r="E18" s="2">
        <f t="shared" si="3"/>
        <v>3</v>
      </c>
      <c r="F18" s="2">
        <f t="shared" si="4"/>
        <v>1.7000000000000028</v>
      </c>
    </row>
    <row r="19" spans="1:6" x14ac:dyDescent="0.25">
      <c r="A19" s="9">
        <v>5.2</v>
      </c>
      <c r="B19" s="2">
        <f t="shared" si="0"/>
        <v>52</v>
      </c>
      <c r="C19" s="2">
        <f t="shared" si="1"/>
        <v>48</v>
      </c>
      <c r="D19" s="2">
        <f t="shared" si="2"/>
        <v>50.3</v>
      </c>
      <c r="E19" s="2">
        <f t="shared" si="3"/>
        <v>4</v>
      </c>
      <c r="F19" s="2">
        <f t="shared" si="4"/>
        <v>1.7000000000000028</v>
      </c>
    </row>
    <row r="20" spans="1:6" x14ac:dyDescent="0.25">
      <c r="A20" s="3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Hedge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Felix Y</cp:lastModifiedBy>
  <cp:revision>1</cp:revision>
  <dcterms:created xsi:type="dcterms:W3CDTF">2026-09-17T02:32:28Z</dcterms:created>
  <dcterms:modified xsi:type="dcterms:W3CDTF">2026-09-23T05:12:04Z</dcterms:modified>
  <dc:language>en-US</dc:language>
</cp:coreProperties>
</file>